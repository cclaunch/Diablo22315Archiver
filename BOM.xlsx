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carlc"/>
  <workbookPr/>
  <bookViews>
    <workbookView activeTab="0" xWindow="240" yWindow="60" windowWidth="25605" windowHeight="19020" tabRatio="500"/>
  </bookViews>
  <sheets>
    <sheet name="Sheet1" sheetId="1" r:id="rId4"/>
  </sheets>
  <calcPr/>
  <extLst>
    <ext uri="smNativeData">
      <pm:revision xmlns:pm="smNativeData" day="1782243572" val="982" rev="124" rev64="64" revOS="4" revMin="124" revMax="0"/>
      <pm:docPrefs xmlns:pm="smNativeData" id="1782243572" fixedDigits="0" showNotice="1" showFrameBounds="1" autoChart="1" recalcOnPrint="1" recalcOnCopy="1" finalRounding="1" compatTextArt="1" tab="567" useDefinedPrintRange="1" printArea="currentSheet"/>
      <pm:compatibility xmlns:pm="smNativeData" id="1782243572" overlapCells="1"/>
      <pm:defCurrency xmlns:pm="smNativeData" id="1782243572"/>
    </ext>
  </extLst>
</workbook>
</file>

<file path=xl/sharedStrings.xml><?xml version="1.0" encoding="utf-8"?>
<sst xmlns="http://schemas.openxmlformats.org/spreadsheetml/2006/main" count="91" uniqueCount="72">
  <si>
    <t>#</t>
  </si>
  <si>
    <t>QUANTITY</t>
  </si>
  <si>
    <t>VENDOR</t>
  </si>
  <si>
    <t>PART NUMBER</t>
  </si>
  <si>
    <t>MANUFACTURER PART NUMBER</t>
  </si>
  <si>
    <t>DESCRIPTION</t>
  </si>
  <si>
    <t>UNIT PRICE</t>
  </si>
  <si>
    <t>EXTENDED PRICE</t>
  </si>
  <si>
    <t>Digikey</t>
  </si>
  <si>
    <t>MMBT2369ALT1GOSCT-ND</t>
  </si>
  <si>
    <t>MMBT2369ALT1G</t>
  </si>
  <si>
    <t>TRANS NPN 15V 0.2A SOT23-3</t>
  </si>
  <si>
    <t>10-ERJ-UP3J331VCT-ND</t>
  </si>
  <si>
    <t>ERJ-UP3J331V</t>
  </si>
  <si>
    <t>RES 330 OHM 5% 1/4W 0603</t>
  </si>
  <si>
    <t>74LVC125AS14-13DICT-ND</t>
  </si>
  <si>
    <t>74LVC125AS14-13</t>
  </si>
  <si>
    <t>IC BUFF 1.65V 14-SO</t>
  </si>
  <si>
    <t>612-TD-108-G-A-ND</t>
  </si>
  <si>
    <t>TD-108-G-A</t>
  </si>
  <si>
    <t>CONN HEADER VERT 16POS 2.54MM</t>
  </si>
  <si>
    <t>LM1117MP-3.3/NOPBCT-ND</t>
  </si>
  <si>
    <t>LM1117MP-3.3/NOPB</t>
  </si>
  <si>
    <t>IC REG LINEAR 3.3V 800MA SOT-223</t>
  </si>
  <si>
    <t>2057-HBHR-A1-50-VG-HT-ND</t>
  </si>
  <si>
    <t>HBHR-A1-50-VG-HT</t>
  </si>
  <si>
    <t>CONN HEADER VERT 50POS 1.27MM</t>
  </si>
  <si>
    <t>478-8235-1-ND</t>
  </si>
  <si>
    <t>F931C106KAA</t>
  </si>
  <si>
    <t>CAP TANT 10UF 10% 16V 1206</t>
  </si>
  <si>
    <t>718-2503-1-ND</t>
  </si>
  <si>
    <t>TMCP1D334MTRF</t>
  </si>
  <si>
    <t>CAP TANT 0.33UF 20% 20V 0805</t>
  </si>
  <si>
    <t>478-TAJS104K020RNJCT-ND</t>
  </si>
  <si>
    <t>TAJS104K020RNJ</t>
  </si>
  <si>
    <t>CAP TANT 0.1UF 10% 20V 1206</t>
  </si>
  <si>
    <t>2092-KLDHCX-0202-BC-1-ND</t>
  </si>
  <si>
    <t>KLDHCX-0202-BC-1</t>
  </si>
  <si>
    <t>CONN POWER JACK SOLDER 2.5MM</t>
  </si>
  <si>
    <t>612-TS-102-T-A-ND</t>
  </si>
  <si>
    <t>TS-102-T-A</t>
  </si>
  <si>
    <t>CONN HEADER VERT 2POS 2.54MM</t>
  </si>
  <si>
    <t>CR0603-FX-1002ELFCT-ND</t>
  </si>
  <si>
    <t>CR0603-FX-1002ELF</t>
  </si>
  <si>
    <t>RES SMD 10K OHM 1% 1/10W 0603</t>
  </si>
  <si>
    <t>P120BZCT-ND</t>
  </si>
  <si>
    <t>ERJ-PA3J121V</t>
  </si>
  <si>
    <t>RES SMD 120 OHM 5% 1/3W 0603</t>
  </si>
  <si>
    <t>RHM300DCT-ND</t>
  </si>
  <si>
    <t>ESR03EZPJ301</t>
  </si>
  <si>
    <t>RES 300 OHM 5% 1/3W 0603</t>
  </si>
  <si>
    <t>Amazon</t>
  </si>
  <si>
    <t>https://www.amazon.com/dp/B0C5M51R2Z?ref=ppx_yo2ov_dt_b_fed_asin_title&amp;th=1</t>
  </si>
  <si>
    <t>LM7805CV  voltage regulator</t>
  </si>
  <si>
    <t>https://www.amazon.com/dp/B07S9KRBDV?ref=ppx_yo2ov_dt_b_fed_asin_title</t>
  </si>
  <si>
    <t>IDC 50 pin cable, 50cm long</t>
  </si>
  <si>
    <t>?</t>
  </si>
  <si>
    <t>collectors or ebaty</t>
  </si>
  <si>
    <t>Diablo terminator</t>
  </si>
  <si>
    <t>Diablo model 31 standard density</t>
  </si>
  <si>
    <t>Digilent.com</t>
  </si>
  <si>
    <t>https://digilent.com/shop/arty-s7-spartan-7-fpga-development-board/</t>
  </si>
  <si>
    <t>Artix S7 FPGA board</t>
  </si>
  <si>
    <t>https://www.amazon.com/dp/B087ZWS7CG?ref=ppx_yo2ov_dt_b_fed_asin_title&amp;th=1</t>
  </si>
  <si>
    <t>9V power supply wallwart</t>
  </si>
  <si>
    <t>PCBway</t>
  </si>
  <si>
    <t>PCB manufactured from design</t>
  </si>
  <si>
    <t>https://www.amazon.com/dp/B0CCYL43VT?ref=ppx_yo2ov_dt_b_fed_asin_title&amp;th=1</t>
  </si>
  <si>
    <t>Meanwell 15V 7A PS bought as pair</t>
  </si>
  <si>
    <t>https://www.amazon.com/Output-Switching-Converter-Computer-24V1-6-24V1-6A/dp/B0DSFLLWTV/ref=sr_1_14?crid=3QJWWJ7D1OTHV&amp;dib=eyJ2IjoiMSJ9.6uudUypDf6cKzfvgHaAN1_bMIDsS7YnN-_K3YyanBdMCvZh06lnOoxifjuFOgsddrjLVvi2Qm1KqdE6egNZsj3qx55x1_E7ehlLYHpZpxtXjMXxvMX9VfqIfMCcx1JVYSHVX_CrVLxNwIkVe5LGvvxF6qwpTQ8_NBRLvtEaitGxjinAEehbO_rCoulPbC3AOaDnjfRF01qkg8FhgjEAXnolbZ8Ts7CCeevm2cegRW_0.olwcYp1c6O6Y1__8mBzgMoOjVFxhqd7RyCasr6ZtciI&amp;dib_tag=se&amp;keywords=15VDC%2Bdual%2Bpower%2Bsupply&amp;qid=1782243130&amp;sprefix=15vdc%2Bdual%2Bpower%2Bsupply%2Caps%2C263&amp;sr=8-14&amp;th=1</t>
  </si>
  <si>
    <t>Dual +/- 15V 2A supply</t>
  </si>
  <si>
    <t>Total</t>
  </si>
</sst>
</file>

<file path=xl/styles.xml><?xml version="1.0" encoding="utf-8"?>
<styleSheet xmlns="http://schemas.openxmlformats.org/spreadsheetml/2006/main">
  <numFmts count="10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" formatCode="0"/>
    <numFmt numFmtId="164" formatCode="[$$-409]#,##0.00_);([$$-409]#,##0.00)"/>
  </numFmts>
  <fonts count="3">
    <font>
      <name val="Calibri"/>
      <family val="2"/>
      <color rgb="FF000000"/>
      <sz val="11"/>
      <extLst>
        <ext uri="smNativeData">
          <pm:charSpec xmlns:pm="smNativeData" id="1782243572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82243572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82243572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82243572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24357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243572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 customBuiltin="1"/>
  </cellStyles>
  <tableStyles count="0"/>
  <extLst>
    <ext uri="smNativeData">
      <pm:charStyles xmlns:pm="smNativeData" id="1782243572" count="1">
        <pm:charStyle name="Normal" fontId="0" Id="1"/>
      </pm:charStyles>
      <pm:colors xmlns:pm="smNativeData" id="1782243572" count="4">
        <pm:color name="Color 24" rgb="D9D9D9"/>
        <pm:color name="Color 25" rgb="D99795"/>
        <pm:color name="Color 26" rgb="C6EFCE"/>
        <pm:color name="Color 27" rgb="C6CFEF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D5D5D5"/>
      </a:dk1>
      <a:lt1>
        <a:sysClr val="window" lastClr="494949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view="normal" workbookViewId="0">
      <selection activeCell="H28" sqref="H28"/>
    </sheetView>
  </sheetViews>
  <sheetFormatPr defaultRowHeight="15.40"/>
  <cols>
    <col min="1" max="1" width="6.000000" customWidth="1" style="2"/>
    <col min="2" max="3" width="10.803571" customWidth="1" style="2"/>
    <col min="4" max="5" width="32.401786" customWidth="1"/>
    <col min="6" max="6" width="43.196429" customWidth="1"/>
    <col min="7" max="7" width="13.500000" customWidth="1" style="2"/>
    <col min="8" max="8" width="16.491071" customWidth="1" style="2"/>
  </cols>
  <sheetData>
    <row r="1" spans="1:8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 spans="1:8">
      <c r="A2" s="4" t="n">
        <v>1</v>
      </c>
      <c r="B2" s="4" t="n">
        <v>20</v>
      </c>
      <c r="C2" s="4" t="s">
        <v>8</v>
      </c>
      <c r="D2" t="s">
        <v>9</v>
      </c>
      <c r="E2" t="s">
        <v>10</v>
      </c>
      <c r="F2" t="s">
        <v>11</v>
      </c>
      <c r="G2" s="2" t="n">
        <v>0.119999999999999996</v>
      </c>
      <c r="H2" s="5" t="n">
        <v>2.39999999999999991</v>
      </c>
    </row>
    <row r="3" spans="1:8">
      <c r="A3" s="4" t="n">
        <v>2</v>
      </c>
      <c r="B3" s="4" t="n">
        <v>20</v>
      </c>
      <c r="C3" s="4" t="s">
        <v>8</v>
      </c>
      <c r="D3" t="s">
        <v>12</v>
      </c>
      <c r="E3" t="s">
        <v>13</v>
      </c>
      <c r="F3" t="s">
        <v>14</v>
      </c>
      <c r="G3" s="2" t="n">
        <v>0.085</v>
      </c>
      <c r="H3" s="5" t="n">
        <v>1.7</v>
      </c>
    </row>
    <row r="4" spans="1:8">
      <c r="A4" s="4" t="n">
        <v>3</v>
      </c>
      <c r="B4" s="4" t="n">
        <v>10</v>
      </c>
      <c r="C4" s="4" t="s">
        <v>8</v>
      </c>
      <c r="D4" t="s">
        <v>15</v>
      </c>
      <c r="E4" t="s">
        <v>16</v>
      </c>
      <c r="F4" t="s">
        <v>17</v>
      </c>
      <c r="G4" s="2" t="n">
        <v>0.233000000000000007</v>
      </c>
      <c r="H4" s="5" t="n">
        <v>2.33000000000000007</v>
      </c>
    </row>
    <row r="5" spans="1:8">
      <c r="A5" s="4" t="n">
        <v>4</v>
      </c>
      <c r="B5" s="4" t="n">
        <v>2</v>
      </c>
      <c r="C5" s="4" t="s">
        <v>8</v>
      </c>
      <c r="D5" t="s">
        <v>18</v>
      </c>
      <c r="E5" t="s">
        <v>19</v>
      </c>
      <c r="F5" t="s">
        <v>20</v>
      </c>
      <c r="G5" s="2" t="n">
        <v>5.55999999999999961</v>
      </c>
      <c r="H5" s="5" t="n">
        <v>11.1199999999999992</v>
      </c>
    </row>
    <row r="6" spans="1:8">
      <c r="A6" s="4" t="n">
        <v>5</v>
      </c>
      <c r="B6" s="4" t="n">
        <v>1</v>
      </c>
      <c r="C6" s="4" t="s">
        <v>8</v>
      </c>
      <c r="D6" t="s">
        <v>21</v>
      </c>
      <c r="E6" t="s">
        <v>22</v>
      </c>
      <c r="F6" t="s">
        <v>23</v>
      </c>
      <c r="G6" s="2" t="n">
        <v>1.57000000000000011</v>
      </c>
      <c r="H6" s="5" t="n">
        <v>1.57000000000000011</v>
      </c>
    </row>
    <row r="7" spans="1:8">
      <c r="A7" s="4" t="n">
        <v>6</v>
      </c>
      <c r="B7" s="4" t="n">
        <v>1</v>
      </c>
      <c r="C7" s="4" t="s">
        <v>8</v>
      </c>
      <c r="D7" t="s">
        <v>24</v>
      </c>
      <c r="E7" t="s">
        <v>25</v>
      </c>
      <c r="F7" t="s">
        <v>26</v>
      </c>
      <c r="G7" s="2" t="n">
        <v>2.79000000000000004</v>
      </c>
      <c r="H7" s="5" t="n">
        <v>2.79000000000000004</v>
      </c>
    </row>
    <row r="8" spans="1:8">
      <c r="A8" s="4" t="n">
        <v>7</v>
      </c>
      <c r="B8" s="4" t="n">
        <v>5</v>
      </c>
      <c r="C8" s="4" t="s">
        <v>8</v>
      </c>
      <c r="D8" t="s">
        <v>27</v>
      </c>
      <c r="E8" t="s">
        <v>28</v>
      </c>
      <c r="F8" t="s">
        <v>29</v>
      </c>
      <c r="G8" s="2" t="n">
        <v>0.469999999999999929</v>
      </c>
      <c r="H8" s="5" t="n">
        <v>2.35000000000000009</v>
      </c>
    </row>
    <row r="9" spans="1:8">
      <c r="A9" s="4" t="n">
        <v>8</v>
      </c>
      <c r="B9" s="4" t="n">
        <v>5</v>
      </c>
      <c r="C9" s="4" t="s">
        <v>8</v>
      </c>
      <c r="D9" t="s">
        <v>30</v>
      </c>
      <c r="E9" t="s">
        <v>31</v>
      </c>
      <c r="F9" t="s">
        <v>32</v>
      </c>
      <c r="G9" s="2" t="n">
        <v>0.34000000000000008</v>
      </c>
      <c r="H9" s="5" t="n">
        <v>1.7</v>
      </c>
    </row>
    <row r="10" spans="1:8">
      <c r="A10" s="4" t="n">
        <v>9</v>
      </c>
      <c r="B10" s="4" t="n">
        <v>5</v>
      </c>
      <c r="C10" s="4" t="s">
        <v>8</v>
      </c>
      <c r="D10" t="s">
        <v>33</v>
      </c>
      <c r="E10" t="s">
        <v>34</v>
      </c>
      <c r="F10" t="s">
        <v>35</v>
      </c>
      <c r="G10" s="2" t="n">
        <v>0.890000000000000036</v>
      </c>
      <c r="H10" s="5" t="n">
        <v>4.45000000000000018</v>
      </c>
    </row>
    <row r="11" spans="1:8">
      <c r="A11" s="4" t="n">
        <v>10</v>
      </c>
      <c r="B11" s="4" t="n">
        <v>1</v>
      </c>
      <c r="C11" s="4" t="s">
        <v>8</v>
      </c>
      <c r="D11" t="s">
        <v>36</v>
      </c>
      <c r="E11" t="s">
        <v>37</v>
      </c>
      <c r="F11" t="s">
        <v>38</v>
      </c>
      <c r="G11" s="2" t="n">
        <v>1.02000000000000002</v>
      </c>
      <c r="H11" s="5" t="n">
        <v>1.02000000000000002</v>
      </c>
    </row>
    <row r="12" spans="1:8">
      <c r="A12" s="4" t="n">
        <v>11</v>
      </c>
      <c r="B12" s="4" t="n">
        <v>2</v>
      </c>
      <c r="C12" s="4" t="s">
        <v>8</v>
      </c>
      <c r="D12" t="s">
        <v>39</v>
      </c>
      <c r="E12" t="s">
        <v>40</v>
      </c>
      <c r="F12" t="s">
        <v>41</v>
      </c>
      <c r="G12" s="2" t="n">
        <v>0.68000000000000016</v>
      </c>
      <c r="H12" s="5" t="n">
        <v>1.3600000000000001</v>
      </c>
    </row>
    <row r="13" spans="1:8">
      <c r="A13" s="4" t="n">
        <v>12</v>
      </c>
      <c r="B13" s="4" t="n">
        <v>25</v>
      </c>
      <c r="C13" s="4" t="s">
        <v>8</v>
      </c>
      <c r="D13" t="s">
        <v>42</v>
      </c>
      <c r="E13" t="s">
        <v>43</v>
      </c>
      <c r="F13" t="s">
        <v>44</v>
      </c>
      <c r="G13" s="2" t="n">
        <v>0.0152000000000000002</v>
      </c>
      <c r="H13" s="5" t="n">
        <v>0.379999999999999982</v>
      </c>
    </row>
    <row r="14" spans="1:8">
      <c r="A14" s="4" t="n">
        <v>13</v>
      </c>
      <c r="B14" s="4" t="n">
        <v>10</v>
      </c>
      <c r="C14" s="4" t="s">
        <v>8</v>
      </c>
      <c r="D14" t="s">
        <v>45</v>
      </c>
      <c r="E14" t="s">
        <v>46</v>
      </c>
      <c r="F14" t="s">
        <v>47</v>
      </c>
      <c r="G14" s="2" t="n">
        <v>0.0580000000000000071</v>
      </c>
      <c r="H14" s="5" t="n">
        <v>0.579999999999999982</v>
      </c>
    </row>
    <row r="15" spans="1:8">
      <c r="A15" s="4" t="n">
        <v>14</v>
      </c>
      <c r="B15" s="4" t="n">
        <v>25</v>
      </c>
      <c r="C15" s="4" t="s">
        <v>8</v>
      </c>
      <c r="D15" t="s">
        <v>48</v>
      </c>
      <c r="E15" t="s">
        <v>49</v>
      </c>
      <c r="F15" t="s">
        <v>50</v>
      </c>
      <c r="G15" s="2" t="n">
        <v>0.054399999999999995</v>
      </c>
      <c r="H15" s="5" t="n">
        <v>1.3600000000000001</v>
      </c>
    </row>
    <row r="16" spans="1:8">
      <c r="A16" s="2" t="n">
        <v>15</v>
      </c>
      <c r="B16" s="2">
        <f>1/12</f>
        <v>0.0833333333333330017</v>
      </c>
      <c r="C16" s="2" t="s">
        <v>51</v>
      </c>
      <c r="D16" t="s">
        <v>52</v>
      </c>
      <c r="F16" t="s">
        <v>53</v>
      </c>
      <c r="G16" s="2" t="n">
        <v>6.41000000000000014</v>
      </c>
      <c r="H16" s="5">
        <f>G16*B16</f>
        <v>0.534166666666664991</v>
      </c>
    </row>
    <row r="17" spans="1:8">
      <c r="A17" s="2" t="n">
        <v>16</v>
      </c>
      <c r="B17" s="2" t="n">
        <v>1</v>
      </c>
      <c r="C17" s="2" t="s">
        <v>51</v>
      </c>
      <c r="D17" t="s">
        <v>54</v>
      </c>
      <c r="F17" t="s">
        <v>55</v>
      </c>
      <c r="G17" s="2" t="n">
        <v>10.6899999999999995</v>
      </c>
      <c r="H17" s="5">
        <f>G17*B17</f>
        <v>10.6899999999999995</v>
      </c>
    </row>
    <row r="18" spans="1:8">
      <c r="A18" s="2" t="n">
        <v>17</v>
      </c>
      <c r="B18" s="2" t="n">
        <v>1</v>
      </c>
      <c r="C18" s="2" t="s">
        <v>56</v>
      </c>
      <c r="D18" t="s">
        <v>57</v>
      </c>
      <c r="F18" t="s">
        <v>58</v>
      </c>
      <c r="H18" s="5"/>
    </row>
    <row r="19" spans="1:8">
      <c r="A19" s="2" t="n">
        <v>18</v>
      </c>
      <c r="B19" s="2" t="n">
        <v>1</v>
      </c>
      <c r="C19" s="2" t="s">
        <v>56</v>
      </c>
      <c r="D19" t="s">
        <v>57</v>
      </c>
      <c r="F19" t="s">
        <v>59</v>
      </c>
      <c r="H19" s="5"/>
    </row>
    <row r="20" spans="1:8">
      <c r="A20" s="2" t="n">
        <v>19</v>
      </c>
      <c r="B20" s="2" t="n">
        <v>1</v>
      </c>
      <c r="C20" s="2" t="s">
        <v>60</v>
      </c>
      <c r="D20" t="s">
        <v>61</v>
      </c>
      <c r="F20" t="s">
        <v>62</v>
      </c>
      <c r="G20" s="2">
        <f>119*1.07</f>
        <v>127.329999999999998</v>
      </c>
      <c r="H20" s="5">
        <f>G20*B20</f>
        <v>127.329999999999998</v>
      </c>
    </row>
    <row r="21" spans="1:8">
      <c r="A21" s="2" t="n">
        <v>20</v>
      </c>
      <c r="B21" s="2" t="n">
        <v>1</v>
      </c>
      <c r="C21" s="2" t="s">
        <v>51</v>
      </c>
      <c r="D21" t="s">
        <v>63</v>
      </c>
      <c r="F21" t="s">
        <v>64</v>
      </c>
      <c r="G21" s="2" t="n">
        <v>9.61999999999999922</v>
      </c>
      <c r="H21" s="5">
        <f>G21*B21</f>
        <v>9.61999999999999922</v>
      </c>
    </row>
    <row r="22" spans="1:8">
      <c r="A22" s="2" t="n">
        <v>21</v>
      </c>
      <c r="B22" s="2" t="n">
        <v>1</v>
      </c>
      <c r="C22" s="2" t="s">
        <v>65</v>
      </c>
      <c r="F22" t="s">
        <v>66</v>
      </c>
      <c r="G22" s="2" t="n">
        <v>148</v>
      </c>
      <c r="H22" s="5">
        <f>G22*B22</f>
        <v>148</v>
      </c>
    </row>
    <row r="23" spans="1:8">
      <c r="A23" s="2" t="n">
        <v>22</v>
      </c>
      <c r="B23" s="2" t="n">
        <v>2</v>
      </c>
      <c r="C23" s="2" t="s">
        <v>51</v>
      </c>
      <c r="D23" t="s">
        <v>67</v>
      </c>
      <c r="F23" t="s">
        <v>68</v>
      </c>
      <c r="G23" s="2" t="n">
        <v>19.7100000000000009</v>
      </c>
      <c r="H23" s="5">
        <f>G23*B23</f>
        <v>39.4200000000000017</v>
      </c>
    </row>
    <row r="24" spans="1:8">
      <c r="A24" s="2" t="n">
        <v>23</v>
      </c>
      <c r="B24" s="2" t="n">
        <v>1</v>
      </c>
      <c r="C24" s="2" t="s">
        <v>51</v>
      </c>
      <c r="D24" t="s">
        <v>69</v>
      </c>
      <c r="F24" t="s">
        <v>70</v>
      </c>
      <c r="G24" s="6" t="n">
        <v>30.1700000000000017</v>
      </c>
      <c r="H24" s="5">
        <f>G24*B24</f>
        <v>30.1700000000000017</v>
      </c>
    </row>
    <row r="27" spans="7:8">
      <c r="G27" s="2" t="s">
        <v>71</v>
      </c>
      <c r="H27" s="5">
        <f>SUM(H2:H26)</f>
        <v>400.874166666667008</v>
      </c>
    </row>
  </sheetData>
  <printOptions>
    <extLst>
      <ext uri="smNativeData">
        <pm:pageFlags xmlns:pm="smNativeData" id="1782243572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82243572" l="56" r="56" t="56" b="56" borderId="0" fillId="0" vertical="0"/>
        <pm:footer xmlns:pm="smNativeData" id="1782243572" l="56" r="56" t="56" b="56" borderId="0" fillId="0" vertical="2"/>
        <pm:paperBin xmlns:pm="smNativeData" id="1782243572" Id="0" type="0" value="0"/>
        <pm:paperBin xmlns:pm="smNativeData" id="1782243572" Id="1" type="0" value="0"/>
      </ext>
    </extLst>
  </headerFooter>
  <extLst>
    <ext uri="smNativeData">
      <pm:sheetPrefs xmlns:pm="smNativeData" day="178224357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carlc</cp:lastModifiedBy>
  <cp:revision>0</cp:revision>
  <dcterms:created xsi:type="dcterms:W3CDTF">2026-06-22T20:40:27Z</dcterms:created>
  <dcterms:modified xsi:type="dcterms:W3CDTF">2026-06-23T19:39:32Z</dcterms:modified>
</cp:coreProperties>
</file>